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Audi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3" customWidth="1" min="4" max="4"/>
    <col width="12" customWidth="1" min="5" max="5"/>
    <col width="19" customWidth="1" min="6" max="6"/>
    <col width="22" customWidth="1" min="7" max="7"/>
    <col width="20" customWidth="1" min="8" max="8"/>
    <col width="26" customWidth="1" min="9" max="9"/>
    <col width="28" customWidth="1" min="10" max="10"/>
  </cols>
  <sheetData>
    <row r="1">
      <c r="A1" s="1" t="inlineStr">
        <is>
          <t>Location / Department</t>
        </is>
      </c>
      <c r="B1" s="1" t="inlineStr">
        <is>
          <t>Appliance / Equipment</t>
        </is>
      </c>
      <c r="C1" s="1" t="inlineStr">
        <is>
          <t>Power (W)</t>
        </is>
      </c>
      <c r="D1" s="1" t="inlineStr">
        <is>
          <t>Power (kW)</t>
        </is>
      </c>
      <c r="E1" s="1" t="inlineStr">
        <is>
          <t>Quantity</t>
        </is>
      </c>
      <c r="F1" s="1" t="inlineStr">
        <is>
          <t>Total Power (kW)</t>
        </is>
      </c>
      <c r="G1" s="1" t="inlineStr">
        <is>
          <t>Daily Usage (Hours)</t>
        </is>
      </c>
      <c r="H1" s="1" t="inlineStr">
        <is>
          <t>Monthly Days Open</t>
        </is>
      </c>
      <c r="I1" s="1" t="inlineStr">
        <is>
          <t>Daily Consumption (kWh)</t>
        </is>
      </c>
      <c r="J1" s="1" t="inlineStr">
        <is>
          <t>Monthly Consumption (kWh)</t>
        </is>
      </c>
    </row>
    <row r="2">
      <c r="A2" s="2" t="inlineStr">
        <is>
          <t>Lab Area</t>
        </is>
      </c>
      <c r="B2" s="2" t="inlineStr">
        <is>
          <t>Red Wood Viscometer</t>
        </is>
      </c>
      <c r="C2" s="3" t="n">
        <v>400</v>
      </c>
      <c r="D2" s="4">
        <f>C2/1000</f>
        <v/>
      </c>
      <c r="E2" s="3" t="n">
        <v>1</v>
      </c>
      <c r="F2" s="4">
        <f>D2*E2</f>
        <v/>
      </c>
      <c r="G2" s="3" t="n">
        <v>1</v>
      </c>
      <c r="H2" s="3" t="n">
        <v>30</v>
      </c>
      <c r="I2" s="4">
        <f>F2*G2</f>
        <v/>
      </c>
      <c r="J2" s="4">
        <f>I2*H2</f>
        <v/>
      </c>
    </row>
    <row r="3">
      <c r="A3" s="2" t="inlineStr">
        <is>
          <t>Dean Office (FIT)</t>
        </is>
      </c>
      <c r="B3" s="2" t="inlineStr">
        <is>
          <t>Fluorescent / LED Bulb (18W)</t>
        </is>
      </c>
      <c r="C3" s="3" t="n">
        <v>18</v>
      </c>
      <c r="D3" s="4">
        <f>C3/1000</f>
        <v/>
      </c>
      <c r="E3" s="3" t="n">
        <v>2</v>
      </c>
      <c r="F3" s="4">
        <f>D3*E3</f>
        <v/>
      </c>
      <c r="G3" s="3" t="n">
        <v>2</v>
      </c>
      <c r="H3" s="3" t="n">
        <v>30</v>
      </c>
      <c r="I3" s="4">
        <f>F3*G3</f>
        <v/>
      </c>
      <c r="J3" s="4">
        <f>I3*H3</f>
        <v/>
      </c>
    </row>
    <row r="4">
      <c r="A4" s="2" t="inlineStr">
        <is>
          <t>Dean Office (FIT)</t>
        </is>
      </c>
      <c r="B4" s="2" t="inlineStr">
        <is>
          <t>Fluorescent / LED Bulb (18W)</t>
        </is>
      </c>
      <c r="C4" s="3" t="n">
        <v>18</v>
      </c>
      <c r="D4" s="4">
        <f>C4/1000</f>
        <v/>
      </c>
      <c r="E4" s="3" t="n">
        <v>6</v>
      </c>
      <c r="F4" s="4">
        <f>D4*E4</f>
        <v/>
      </c>
      <c r="G4" s="3" t="n">
        <v>4</v>
      </c>
      <c r="H4" s="3" t="n">
        <v>30</v>
      </c>
      <c r="I4" s="4">
        <f>F4*G4</f>
        <v/>
      </c>
      <c r="J4" s="4">
        <f>I4*H4</f>
        <v/>
      </c>
    </row>
    <row r="5">
      <c r="A5" s="2" t="inlineStr">
        <is>
          <t>Mechanical Lab</t>
        </is>
      </c>
      <c r="B5" s="2" t="inlineStr">
        <is>
          <t>Tube Light / Bulb (32W)</t>
        </is>
      </c>
      <c r="C5" s="3" t="n">
        <v>32</v>
      </c>
      <c r="D5" s="4">
        <f>C5/1000</f>
        <v/>
      </c>
      <c r="E5" s="3" t="n">
        <v>24</v>
      </c>
      <c r="F5" s="4">
        <f>D5*E5</f>
        <v/>
      </c>
      <c r="G5" s="3" t="n">
        <v>12</v>
      </c>
      <c r="H5" s="3" t="n">
        <v>15</v>
      </c>
      <c r="I5" s="4">
        <f>F5*G5</f>
        <v/>
      </c>
      <c r="J5" s="4">
        <f>I5*H5</f>
        <v/>
      </c>
    </row>
    <row r="6">
      <c r="A6" s="2" t="inlineStr">
        <is>
          <t>Mechanical Lab</t>
        </is>
      </c>
      <c r="B6" s="2" t="inlineStr">
        <is>
          <t>Ceiling Fan (60W)</t>
        </is>
      </c>
      <c r="C6" s="3" t="n">
        <v>60</v>
      </c>
      <c r="D6" s="4">
        <f>C6/1000</f>
        <v/>
      </c>
      <c r="E6" s="3" t="n">
        <v>6</v>
      </c>
      <c r="F6" s="4">
        <f>D6*E6</f>
        <v/>
      </c>
      <c r="G6" s="3" t="n">
        <v>2</v>
      </c>
      <c r="H6" s="3" t="n">
        <v>12</v>
      </c>
      <c r="I6" s="4">
        <f>F6*G6</f>
        <v/>
      </c>
      <c r="J6" s="4">
        <f>I6*H6</f>
        <v/>
      </c>
    </row>
    <row r="7">
      <c r="A7" s="2" t="inlineStr">
        <is>
          <t>Mechanical Lab</t>
        </is>
      </c>
      <c r="B7" s="2" t="inlineStr">
        <is>
          <t>Flash Point Apparatus Machine</t>
        </is>
      </c>
      <c r="C7" s="3" t="n">
        <v>600</v>
      </c>
      <c r="D7" s="4">
        <f>C7/1000</f>
        <v/>
      </c>
      <c r="E7" s="3" t="n">
        <v>1</v>
      </c>
      <c r="F7" s="4">
        <f>D7*E7</f>
        <v/>
      </c>
      <c r="G7" s="3" t="n">
        <v>1</v>
      </c>
      <c r="H7" s="3" t="n">
        <v>1</v>
      </c>
      <c r="I7" s="4">
        <f>F7*G7</f>
        <v/>
      </c>
      <c r="J7" s="4">
        <f>I7*H7</f>
        <v/>
      </c>
    </row>
    <row r="8">
      <c r="A8" s="2" t="inlineStr">
        <is>
          <t>Mechanical Lab</t>
        </is>
      </c>
      <c r="B8" s="2" t="inlineStr">
        <is>
          <t>Desktop Computer</t>
        </is>
      </c>
      <c r="C8" s="3" t="n">
        <v>150</v>
      </c>
      <c r="D8" s="4">
        <f>C8/1000</f>
        <v/>
      </c>
      <c r="E8" s="3" t="n">
        <v>1</v>
      </c>
      <c r="F8" s="4">
        <f>D8*E8</f>
        <v/>
      </c>
      <c r="G8" s="3" t="n">
        <v>12</v>
      </c>
      <c r="H8" s="3" t="n">
        <v>30</v>
      </c>
      <c r="I8" s="4">
        <f>F8*G8</f>
        <v/>
      </c>
      <c r="J8" s="4">
        <f>I8*H8</f>
        <v/>
      </c>
    </row>
    <row r="9">
      <c r="A9" s="2" t="inlineStr">
        <is>
          <t>Mechanical Lab</t>
        </is>
      </c>
      <c r="B9" s="2" t="inlineStr">
        <is>
          <t>Laptop Charger</t>
        </is>
      </c>
      <c r="C9" s="3" t="n">
        <v>95</v>
      </c>
      <c r="D9" s="4">
        <f>C9/1000</f>
        <v/>
      </c>
      <c r="E9" s="3" t="n">
        <v>1</v>
      </c>
      <c r="F9" s="4">
        <f>D9*E9</f>
        <v/>
      </c>
      <c r="G9" s="3" t="n">
        <v>3</v>
      </c>
      <c r="H9" s="3" t="n">
        <v>30</v>
      </c>
      <c r="I9" s="4">
        <f>F9*G9</f>
        <v/>
      </c>
      <c r="J9" s="4">
        <f>I9*H9</f>
        <v/>
      </c>
    </row>
    <row r="10">
      <c r="A10" s="2" t="inlineStr">
        <is>
          <t>Mechanical Lab</t>
        </is>
      </c>
      <c r="B10" s="2" t="inlineStr">
        <is>
          <t>Printer</t>
        </is>
      </c>
      <c r="C10" s="3" t="n">
        <v>780</v>
      </c>
      <c r="D10" s="4">
        <f>C10/1000</f>
        <v/>
      </c>
      <c r="E10" s="3" t="n">
        <v>1</v>
      </c>
      <c r="F10" s="4">
        <f>D10*E10</f>
        <v/>
      </c>
      <c r="G10" s="3" t="n">
        <v>12</v>
      </c>
      <c r="H10" s="3" t="n">
        <v>30</v>
      </c>
      <c r="I10" s="4">
        <f>F10*G10</f>
        <v/>
      </c>
      <c r="J10" s="4">
        <f>I10*H10</f>
        <v/>
      </c>
    </row>
    <row r="11">
      <c r="A11" s="2" t="inlineStr">
        <is>
          <t>Staff Washroom</t>
        </is>
      </c>
      <c r="B11" s="2" t="inlineStr">
        <is>
          <t>Bulb (18W)</t>
        </is>
      </c>
      <c r="C11" s="3" t="n">
        <v>18</v>
      </c>
      <c r="D11" s="4">
        <f>C11/1000</f>
        <v/>
      </c>
      <c r="E11" s="3" t="n">
        <v>2</v>
      </c>
      <c r="F11" s="4">
        <f>D11*E11</f>
        <v/>
      </c>
      <c r="G11" s="3" t="n">
        <v>12</v>
      </c>
      <c r="H11" s="3" t="n">
        <v>30</v>
      </c>
      <c r="I11" s="4">
        <f>F11*G11</f>
        <v/>
      </c>
      <c r="J11" s="4">
        <f>I11*H11</f>
        <v/>
      </c>
    </row>
    <row r="12">
      <c r="A12" s="2" t="inlineStr">
        <is>
          <t>Staff Washroom</t>
        </is>
      </c>
      <c r="B12" s="2" t="inlineStr">
        <is>
          <t>Bulb (32W)</t>
        </is>
      </c>
      <c r="C12" s="3" t="n">
        <v>32</v>
      </c>
      <c r="D12" s="4">
        <f>C12/1000</f>
        <v/>
      </c>
      <c r="E12" s="3" t="n">
        <v>2</v>
      </c>
      <c r="F12" s="4">
        <f>D12*E12</f>
        <v/>
      </c>
      <c r="G12" s="3" t="n">
        <v>12</v>
      </c>
      <c r="H12" s="3" t="n">
        <v>30</v>
      </c>
      <c r="I12" s="4">
        <f>F12*G12</f>
        <v/>
      </c>
      <c r="J12" s="4">
        <f>I12*H12</f>
        <v/>
      </c>
    </row>
    <row r="13">
      <c r="A13" s="2" t="inlineStr">
        <is>
          <t>Sports Society Room</t>
        </is>
      </c>
      <c r="B13" s="2" t="inlineStr">
        <is>
          <t>Bulb (32W)</t>
        </is>
      </c>
      <c r="C13" s="3" t="n">
        <v>32</v>
      </c>
      <c r="D13" s="4">
        <f>C13/1000</f>
        <v/>
      </c>
      <c r="E13" s="3" t="n">
        <v>2</v>
      </c>
      <c r="F13" s="4">
        <f>D13*E13</f>
        <v/>
      </c>
      <c r="G13" s="3" t="n">
        <v>2</v>
      </c>
      <c r="H13" s="3" t="n">
        <v>30</v>
      </c>
      <c r="I13" s="4">
        <f>F13*G13</f>
        <v/>
      </c>
      <c r="J13" s="4">
        <f>I13*H13</f>
        <v/>
      </c>
    </row>
    <row r="14">
      <c r="A14" s="5" t="inlineStr">
        <is>
          <t>Total Campus Energy Audit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7">
        <f>SUM(J2:J13)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2026-09-17T08:58:34Z</dcterms:created>
  <dcterms:modified xmlns:dcterms="http://purl.org/dc/terms/" xmlns:xsi="http://www.w3.org/2001/XMLSchema-instance" xsi:type="dcterms:W3CDTF">2026-09-17T08:58:34Z</dcterms:modified>
</cp:coreProperties>
</file>